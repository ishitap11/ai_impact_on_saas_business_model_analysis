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showInkAnnotation="0" autoCompressPictures="0"/>
  <xr:revisionPtr revIDLastSave="0" documentId="8_{5C1487EA-004E-406C-98AA-5CAC50F45DEE}" xr6:coauthVersionLast="47" xr6:coauthVersionMax="47" xr10:uidLastSave="{00000000-0000-0000-0000-000000000000}"/>
  <bookViews>
    <workbookView xWindow="0" yWindow="0" windowWidth="0" windowHeight="0" xr2:uid="{00000000-000D-0000-FFFF-FFFF00000000}"/>
  </bookViews>
  <sheets>
    <sheet name="Analysis Ready Dataset" sheetId="1" r:id="rId1"/>
    <sheet name="Data Notes" sheetId="2" r:id="rId2"/>
    <sheet name="Source Workbooks" sheetId="3" r:id="rId3"/>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0" i="1" l="1"/>
  <c r="N30" i="1"/>
  <c r="N3" i="1"/>
  <c r="N2" i="1"/>
  <c r="N4" i="1"/>
  <c r="N5" i="1"/>
  <c r="N6" i="1"/>
  <c r="N7" i="1"/>
  <c r="N8" i="1"/>
  <c r="N9" i="1"/>
  <c r="N10" i="1"/>
  <c r="N11" i="1"/>
  <c r="N12" i="1"/>
  <c r="N13" i="1"/>
  <c r="N14" i="1"/>
  <c r="N15" i="1"/>
  <c r="N16" i="1"/>
  <c r="N17" i="1"/>
  <c r="N18" i="1"/>
  <c r="N19" i="1"/>
  <c r="N20" i="1"/>
  <c r="N21" i="1"/>
  <c r="N22" i="1"/>
  <c r="N23" i="1"/>
  <c r="N24" i="1"/>
  <c r="N25" i="1"/>
  <c r="N26" i="1"/>
  <c r="N27" i="1"/>
  <c r="N28" i="1"/>
  <c r="N29" i="1"/>
  <c r="S29" i="1"/>
  <c r="S28" i="1"/>
  <c r="O27" i="1"/>
  <c r="F27" i="1"/>
  <c r="Q27" i="1"/>
  <c r="R27" i="1"/>
  <c r="C27" i="1"/>
  <c r="S26" i="1"/>
  <c r="S27" i="1" s="1"/>
  <c r="S25" i="1"/>
  <c r="R25" i="1"/>
  <c r="S24" i="1"/>
  <c r="R23" i="1"/>
  <c r="S22" i="1"/>
  <c r="S23" i="1" s="1"/>
  <c r="S21" i="1"/>
  <c r="S20" i="1"/>
  <c r="R20" i="1"/>
  <c r="F15" i="1"/>
  <c r="G15" i="1"/>
  <c r="R19" i="1"/>
  <c r="S18" i="1"/>
  <c r="S19" i="1" s="1"/>
  <c r="S17" i="1"/>
  <c r="S16" i="1"/>
  <c r="Q15" i="1"/>
  <c r="S14" i="1"/>
  <c r="S15" i="1" s="1"/>
  <c r="R14" i="1"/>
  <c r="R15" i="1" s="1"/>
  <c r="S13" i="1"/>
  <c r="R13" i="1"/>
  <c r="S12" i="1"/>
  <c r="R12" i="1"/>
  <c r="Q11" i="1"/>
  <c r="S10" i="1"/>
  <c r="S11" i="1" s="1"/>
  <c r="R10" i="1"/>
  <c r="R11" i="1" s="1"/>
  <c r="S5" i="1"/>
  <c r="S9" i="1"/>
  <c r="Q5" i="1"/>
  <c r="Q9" i="1"/>
  <c r="R5" i="1"/>
  <c r="R9" i="1"/>
  <c r="O3" i="1"/>
  <c r="C9" i="1"/>
  <c r="S8" i="1"/>
  <c r="S4" i="1"/>
  <c r="V4" i="1"/>
  <c r="V5" i="1"/>
  <c r="V8" i="1"/>
  <c r="V9" i="1"/>
  <c r="V10" i="1"/>
  <c r="V11" i="1"/>
  <c r="V12" i="1"/>
  <c r="V13" i="1"/>
  <c r="V14" i="1"/>
  <c r="V15" i="1"/>
  <c r="V16" i="1"/>
  <c r="V17" i="1"/>
  <c r="V18" i="1"/>
  <c r="V19" i="1"/>
  <c r="V20" i="1"/>
  <c r="V21" i="1"/>
  <c r="V22" i="1"/>
  <c r="V23" i="1"/>
  <c r="V24" i="1"/>
  <c r="V25" i="1"/>
  <c r="U3" i="1"/>
  <c r="U4" i="1"/>
  <c r="U5" i="1"/>
  <c r="U6" i="1"/>
  <c r="U7" i="1"/>
  <c r="U8" i="1"/>
  <c r="U9" i="1"/>
  <c r="U10" i="1"/>
  <c r="U11" i="1"/>
  <c r="U12" i="1"/>
  <c r="U13" i="1"/>
  <c r="U14" i="1"/>
  <c r="U15" i="1"/>
  <c r="U16" i="1"/>
  <c r="U2" i="1"/>
  <c r="T3" i="1"/>
  <c r="T4" i="1"/>
  <c r="T5" i="1"/>
  <c r="T6" i="1"/>
  <c r="T7" i="1"/>
  <c r="T8" i="1"/>
  <c r="T9" i="1"/>
  <c r="T10" i="1"/>
  <c r="T11" i="1"/>
  <c r="T12" i="1"/>
  <c r="T13" i="1"/>
  <c r="T14" i="1"/>
  <c r="T15" i="1"/>
  <c r="T16" i="1"/>
  <c r="T17" i="1"/>
  <c r="T18" i="1"/>
  <c r="T19" i="1"/>
  <c r="T20" i="1"/>
  <c r="T21" i="1"/>
  <c r="T22" i="1"/>
  <c r="T23" i="1"/>
  <c r="T24" i="1"/>
  <c r="T25" i="1"/>
  <c r="S3" i="1"/>
  <c r="V3" i="1" s="1"/>
  <c r="S7" i="1"/>
  <c r="V7" i="1" s="1"/>
  <c r="T2" i="1"/>
  <c r="S2" i="1"/>
  <c r="V2" i="1" s="1"/>
  <c r="S6" i="1"/>
  <c r="V6" i="1" s="1"/>
</calcChain>
</file>

<file path=xl/sharedStrings.xml><?xml version="1.0" encoding="utf-8"?>
<sst xmlns="http://schemas.openxmlformats.org/spreadsheetml/2006/main" count="120" uniqueCount="87">
  <si>
    <t>Company</t>
  </si>
  <si>
    <t>Quarter</t>
  </si>
  <si>
    <t>Total revenue</t>
  </si>
  <si>
    <t>TMV Standalone</t>
  </si>
  <si>
    <t>1E Standalone</t>
  </si>
  <si>
    <t>Enterprise revenue</t>
  </si>
  <si>
    <t>SMB revenue</t>
  </si>
  <si>
    <t>ARR</t>
  </si>
  <si>
    <t>Enterprise ARR</t>
  </si>
  <si>
    <t>SMB ARR</t>
  </si>
  <si>
    <t>NRR (%)</t>
  </si>
  <si>
    <t>Enterprise NRR</t>
  </si>
  <si>
    <t>SMB NRR</t>
  </si>
  <si>
    <t>Gross Margin</t>
  </si>
  <si>
    <t>Adjusted EBITDA</t>
  </si>
  <si>
    <t>Adjusted EBITDA margin</t>
  </si>
  <si>
    <t>R&amp;D</t>
  </si>
  <si>
    <t>Cost of goods sold</t>
  </si>
  <si>
    <t>Sales &amp; Marketing</t>
  </si>
  <si>
    <t>COGS % revenue</t>
  </si>
  <si>
    <t>R&amp;D % revenue</t>
  </si>
  <si>
    <t>Sales and marketing % of revenue</t>
  </si>
  <si>
    <t>TeamViewer</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</si>
  <si>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</si>
  <si>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</si>
  <si>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</si>
  <si>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</si>
  <si>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</si>
  <si>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</si>
  <si>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</si>
  <si>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</si>
  <si>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</si>
  <si>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</si>
  <si>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</si>
  <si>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</si>
  <si>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</si>
  <si>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</si>
  <si>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</si>
  <si>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</si>
  <si>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</si>
  <si>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</si>
  <si>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</si>
  <si>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</si>
  <si>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</si>
  <si>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</si>
  <si>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</si>
  <si>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</si>
  <si>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</si>
  <si>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</si>
  <si>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</si>
  <si>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</si>
  <si>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</si>
  <si>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Field</t>
  </si>
  <si>
    <t>Treatment / Source Note</t>
  </si>
  <si>
    <t>Purpose</t>
  </si>
  <si>
    <t>Long-format TeamViewer quarterly input for the structural_break_analysis.py script.</t>
  </si>
  <si>
    <t>Coverage</t>
  </si>
  <si>
    <t>Q3 2019 to Q4 2025. Q1 and Q2 2019 are excluded because comparable public quarterly data was unavailable.</t>
  </si>
  <si>
    <t>IFRS revenue through Q4 2024; 2025 uses pro forma revenue as provided in the 2025 quarterly dataset.</t>
  </si>
  <si>
    <t>2019-2022 follows the margin values in the source workbooks, generally calculated against billings. From 2023 onward, the source workbooks calculate the margin against revenue. This basis change must be considered in break-test interpretation.</t>
  </si>
  <si>
    <t>R&amp;D and COGS signs</t>
  </si>
  <si>
    <t>Expense values are presented as positive magnitudes for analytical usability. Source workbooks sometimes report expenses as negative accounting values.</t>
  </si>
  <si>
    <t>Taken from Derived Variables where available. For Q4 2021 and Q4 2022, calculated as R&amp;D divided by revenue using raw values.</t>
  </si>
  <si>
    <t>Sales and marketing % revenue</t>
  </si>
  <si>
    <t>2020 values are the combined Sales &amp; Marketing percentages from Derived Variables. For 2025, separate Sales and Marketing percentages were added. No comparable values were available in the source datasets for other quarters.</t>
  </si>
  <si>
    <t>Enterprise / SMB revenue</t>
  </si>
  <si>
    <t>Available from Q1 2023 onward. Earlier quarterly datasets did not disclose this split.</t>
  </si>
  <si>
    <t>Available from Q1 2023 onward in the supplied workbooks.</t>
  </si>
  <si>
    <t>Enterprise ARR / SMB ARR</t>
  </si>
  <si>
    <t>Available only for 2025 in the supplied workbooks.</t>
  </si>
  <si>
    <t>NRR</t>
  </si>
  <si>
    <t>The group NRR series is retained as reported. Missing quarters remain blank rather than interpolated.</t>
  </si>
  <si>
    <t>Sparse disclosures are retained exactly where available. SMB NRR was not available in the supplied datasets.</t>
  </si>
  <si>
    <t>Missing values</t>
  </si>
  <si>
    <t>Blank cells indicate that the metric was not available in the referenced Raw Financial Data, Derived Variables, or Analysis Ready Dataset sheets. No interpolation was applied.</t>
  </si>
  <si>
    <t>Input compatibility</t>
  </si>
  <si>
    <t>The first sheet begins directly with the exact headers expected for batch analysis. The Quarter values use the supported 'Q1 2024' format.</t>
  </si>
  <si>
    <t>Period</t>
  </si>
  <si>
    <t>Source workbook</t>
  </si>
  <si>
    <t>Q3 2019–Q4 2020</t>
  </si>
  <si>
    <t>TeamViewer_Quarterly_Dataset_Q3_2019_Q4_2020(1).xlsx</t>
  </si>
  <si>
    <t>Q1 2021–Q4 2022</t>
  </si>
  <si>
    <t>TeamViewer_Quarterly_Dataset_Q1_2021_Q4_2022(1).xlsx</t>
  </si>
  <si>
    <t>Q1 2023–Q4 2024</t>
  </si>
  <si>
    <t>TeamViewer_Quarterly_Dataset_Q1_2023_Q4_2024(1).xlsx</t>
  </si>
  <si>
    <t>Q1 2025–Q4 2025</t>
  </si>
  <si>
    <t>TeamViewer_Quarterly_Dataset_Q1_2025_Q4_2025(1).xlsx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</si>
</sst>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Red]\(#,##0.0\);\-"/>
    <numFmt numFmtId="165" formatCode="0.0%;[Red]\(0.0%\);\-"/>
    <numFmt numFmtId="166" formatCode="0.0;[Red]\(0.0\);\-"/>
    <numFmt numFmtId="167" formatCode="#,##0.0"/>
  </numFmts>
  <fonts count="4">
    <font>
      <sz val="11"/>
      <name val="Carlito"/>
    </font>
    <font>
      <b/>
      <sz val="11"/>
      <color rgb="FFFFFFFF"/>
      <name val="Carlito"/>
    </font>
    <font>
      <sz val="11"/>
      <color rgb="FF000000"/>
      <name val="Carlito"/>
    </font>
    <font>
      <sz val="11"/>
      <color rgb="FFC00000"/>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wrapText="1"/>
    </xf>
    <xf numFmtId="0" fontId="1" fillId="2" borderId="0" xfId="0" applyFont="1" applyFill="1" applyAlignment="1">
      <alignment horizontal="center" vertical="top" wrapText="1"/>
    </xf>
    <xf numFmtId="0" fontId="0" fillId="0" borderId="0" xfId="0" applyAlignment="1">
      <alignment vertical="top" wrapText="1"/>
    </xf>
    <xf numFmtId="0" fontId="2" fillId="0" borderId="0" xfId="0" applyFont="1" applyAlignment="1">
      <alignment wrapText="1"/>
    </xf>
    <xf numFmtId="164" fontId="2" fillId="0" borderId="0" xfId="0" applyNumberFormat="1" applyFont="1" applyAlignment="1">
      <alignment wrapText="1"/>
    </xf>
    <xf numFmtId="166" fontId="2" fillId="0" borderId="0" xfId="0" applyNumberFormat="1" applyFont="1" applyAlignment="1">
      <alignment wrapText="1"/>
    </xf>
    <xf numFmtId="165" fontId="2" fillId="0" borderId="0" xfId="0" applyNumberFormat="1" applyFont="1" applyAlignment="1">
      <alignment wrapText="1"/>
    </xf>
    <xf numFmtId="167" fontId="2" fillId="0" borderId="0" xfId="0" applyNumberFormat="1" applyFont="1"/>
    <xf numFmtId="164" fontId="3" fillId="0" borderId="0" xfId="0" applyNumberFormat="1" applyFont="1" applyAlignment="1">
      <alignment wrapText="1"/>
    </xf>
    <xf numFmtId="166" fontId="3" fillId="0" borderId="0" xfId="0" applyNumberFormat="1" applyFont="1" applyAlignment="1">
      <alignment wrapText="1"/>
    </xf>
    <xf numFmtId="0" fontId="2" fillId="0" borderId="0" xfId="0" applyFont="1"/>
    <xf numFmtId="9" fontId="2" fillId="0" borderId="0" xfId="0" applyNumberFormat="1" applyFont="1"/>
  </cellXfs>
  <cellStyles count="1">
    <cellStyle name="Normal" xfId="0" builtinId="0"/>
  </cellStyles>
  <dxfs count="23">
    <dxf>
      <font>
        <color rgb="FF000000"/>
      </font>
    </dxf>
    <dxf>
      <font>
        <color rgb="FF000000"/>
      </font>
    </dxf>
    <dxf>
      <font>
        <color rgb="FF000000"/>
      </font>
    </dxf>
    <dxf>
      <font>
        <b val="0"/>
        <i val="0"/>
        <strike val="0"/>
        <condense val="0"/>
        <extend val="0"/>
        <outline val="0"/>
        <shadow val="0"/>
        <u val="none"/>
        <vertAlign val="baseline"/>
        <sz val="11"/>
        <color rgb="FF000000"/>
        <name val="Carlito"/>
        <scheme val="none"/>
      </font>
      <numFmt numFmtId="164" formatCode="#,##0.0;[Red]\(#,##0.0\);\-"/>
      <alignment horizontal="general" vertical="bottom" textRotation="0" wrapText="1" indent="0" justifyLastLine="0" shrinkToFit="0" readingOrder="0"/>
    </dxf>
    <dxf>
      <font>
        <color rgb="FF000000"/>
      </font>
    </dxf>
    <dxf>
      <font>
        <color rgb="FF000000"/>
      </font>
    </dxf>
    <dxf>
      <font>
        <color rgb="FF000000"/>
      </font>
    </dxf>
    <dxf>
      <font>
        <color rgb="FF000000"/>
      </font>
    </dxf>
    <dxf>
      <font>
        <b val="0"/>
        <i val="0"/>
        <strike val="0"/>
        <condense val="0"/>
        <extend val="0"/>
        <outline val="0"/>
        <shadow val="0"/>
        <u val="none"/>
        <vertAlign val="baseline"/>
        <sz val="11"/>
        <color rgb="FF000000"/>
        <name val="Carlito"/>
        <scheme val="none"/>
      </font>
      <numFmt numFmtId="166" formatCode="0.0;[Red]\(0.0\);\-"/>
      <alignment horizontal="general" vertical="bottom" textRotation="0" wrapText="1" indent="0" justifyLastLine="0" shrinkToFit="0" readingOrder="0"/>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b val="0"/>
        <i val="0"/>
        <strike val="0"/>
        <condense val="0"/>
        <extend val="0"/>
        <outline val="0"/>
        <shadow val="0"/>
        <u val="none"/>
        <vertAlign val="baseline"/>
        <sz val="11"/>
        <color rgb="FF000000"/>
        <name val="Carlito"/>
        <scheme val="none"/>
      </font>
      <numFmt numFmtId="164" formatCode="#,##0.0;[Red]\(#,##0.0\);\-"/>
      <alignment horizontal="general" vertical="bottom" textRotation="0" wrapText="1" indent="0" justifyLastLine="0" shrinkToFit="0" readingOrder="0"/>
    </dxf>
    <dxf>
      <font>
        <b val="0"/>
        <i val="0"/>
        <strike val="0"/>
        <condense val="0"/>
        <extend val="0"/>
        <outline val="0"/>
        <shadow val="0"/>
        <u val="none"/>
        <vertAlign val="baseline"/>
        <sz val="11"/>
        <color rgb="FF000000"/>
        <name val="Carlito"/>
        <scheme val="none"/>
      </font>
      <numFmt numFmtId="164" formatCode="#,##0.0;[Red]\(#,##0.0\);\-"/>
      <alignment horizontal="general" vertical="bottom" textRotation="0" wrapText="1" indent="0" justifyLastLine="0" shrinkToFit="0" readingOrder="0"/>
    </dxf>
    <dxf>
      <font>
        <color rgb="FF000000"/>
      </font>
    </dxf>
    <dxf>
      <font>
        <color rgb="FF000000"/>
      </font>
    </dxf>
    <dxf>
      <font>
        <color rgb="FF000000"/>
      </font>
    </dxf>
    <dxf>
      <font>
        <color rgb="FF0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amViewerBreakInput" displayName="TeamViewerBreakInput" ref="A1:V30" dataDxfId="22">
  <tableColumns count="22">
    <tableColumn id="1" xr3:uid="{00000000-0010-0000-0000-000001000000}" name="Company" dataDxfId="21"/>
    <tableColumn id="2" xr3:uid="{00000000-0010-0000-0000-000002000000}" name="Quarter" dataDxfId="20"/>
    <tableColumn id="3" xr3:uid="{00000000-0010-0000-0000-000003000000}" name="Total revenue" dataDxfId="19"/>
    <tableColumn id="21" xr3:uid="{EE9893D9-4A60-4804-A298-B715D0A42713}" name="TMV Standalone" dataDxfId="18"/>
    <tableColumn id="20" xr3:uid="{4979B8BF-A826-47FA-8468-5DAD28A2103D}" name="1E Standalone" dataDxfId="17"/>
    <tableColumn id="4" xr3:uid="{00000000-0010-0000-0000-000004000000}" name="Enterprise revenue" dataDxfId="16"/>
    <tableColumn id="5" xr3:uid="{00000000-0010-0000-0000-000005000000}" name="SMB revenue" dataDxfId="15"/>
    <tableColumn id="6" xr3:uid="{00000000-0010-0000-0000-000006000000}" name="ARR" dataDxfId="14"/>
    <tableColumn id="7" xr3:uid="{00000000-0010-0000-0000-000007000000}" name="Enterprise ARR" dataDxfId="13"/>
    <tableColumn id="8" xr3:uid="{00000000-0010-0000-0000-000008000000}" name="SMB ARR" dataDxfId="12"/>
    <tableColumn id="9" xr3:uid="{00000000-0010-0000-0000-000009000000}" name="NRR (%)" dataDxfId="11"/>
    <tableColumn id="10" xr3:uid="{00000000-0010-0000-0000-00000A000000}" name="Enterprise NRR" dataDxfId="10"/>
    <tableColumn id="11" xr3:uid="{00000000-0010-0000-0000-00000B000000}" name="SMB NRR" dataDxfId="9"/>
    <tableColumn id="22" xr3:uid="{ED0898EF-44FD-4DC0-B591-4E0D1976A49D}" name="Gross Margin" dataDxfId="8">
      <calculatedColumnFormula>TeamViewerBreakInput[[#This Row],[Total revenue]]-TeamViewerBreakInput[[#This Row],[Cost of goods sold]]</calculatedColumnFormula>
    </tableColumn>
    <tableColumn id="12" xr3:uid="{00000000-0010-0000-0000-00000C000000}" name="Adjusted EBITDA" dataDxfId="7"/>
    <tableColumn id="13" xr3:uid="{00000000-0010-0000-0000-00000D000000}" name="Adjusted EBITDA margin" dataDxfId="6"/>
    <tableColumn id="14" xr3:uid="{00000000-0010-0000-0000-00000E000000}" name="R&amp;D" dataDxfId="5"/>
    <tableColumn id="15" xr3:uid="{00000000-0010-0000-0000-00000F000000}" name="Cost of goods sold" dataDxfId="4"/>
    <tableColumn id="19" xr3:uid="{B21CAA0B-2A6F-4197-875D-747FBA842927}" name="Sales &amp; Marketing" dataDxfId="3"/>
    <tableColumn id="16" xr3:uid="{00000000-0010-0000-0000-000010000000}" name="COGS % revenue" dataDxfId="2"/>
    <tableColumn id="17" xr3:uid="{00000000-0010-0000-0000-000011000000}" name="R&amp;D % revenue" dataDxfId="1"/>
    <tableColumn id="18" xr3:uid="{00000000-0010-0000-0000-000012000000}" name="Sales and marketing % of revenue"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ataNotesTable" displayName="DataNotesTable" ref="A1:B15">
  <tableColumns count="2">
    <tableColumn id="1" xr3:uid="{00000000-0010-0000-0100-000001000000}" name="Field"/>
    <tableColumn id="2" xr3:uid="{00000000-0010-0000-0100-000002000000}" name="Treatment / Source No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ourceWorkbooksTable" displayName="SourceWorkbooksTable" ref="A1:B5">
  <tableColumns count="2">
    <tableColumn id="1" xr3:uid="{00000000-0010-0000-0200-000001000000}" name="Period"/>
    <tableColumn id="2" xr3:uid="{00000000-0010-0000-0200-000002000000}" name="Source workboo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0"/>
  <sheetViews>
    <sheetView tabSelected="1" topLeftCell="Q12" zoomScaleNormal="100" zoomScaleSheetLayoutView="100" workbookViewId="0">
      <selection activeCell="V29" sqref="V29:V30"/>
    </sheetView>
  </sheetViews>
  <sheetFormatPr defaultRowHeight="14.25" customHeight="1"/>
  <cols>
    <col min="1" max="1" width="14" customWidth="1"/>
    <col min="2" max="2" width="12" customWidth="1"/>
    <col min="3" max="5" width="15" customWidth="1"/>
    <col min="6" max="7" width="18" customWidth="1"/>
    <col min="8" max="10" width="15" customWidth="1"/>
    <col min="11" max="14" width="16" customWidth="1"/>
    <col min="15" max="15" width="17" customWidth="1"/>
    <col min="16" max="16" width="20" customWidth="1"/>
    <col min="17" max="19" width="18" customWidth="1"/>
    <col min="20" max="22" width="22" customWidth="1"/>
  </cols>
  <sheetData>
    <row r="1" spans="1:22" ht="36"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6.5">
      <c r="A2" s="4" t="s">
        <v>22</v>
      </c>
      <c r="B2" s="4" t="s">
        <v>23</v>
      </c>
      <c r="C2" s="5">
        <v>86.7</v>
      </c>
      <c r="D2" s="5"/>
      <c r="E2" s="5"/>
      <c r="F2" s="5"/>
      <c r="G2" s="5"/>
      <c r="H2" s="5"/>
      <c r="I2" s="5"/>
      <c r="J2" s="5"/>
      <c r="K2" s="6"/>
      <c r="L2" s="6"/>
      <c r="M2" s="6"/>
      <c r="N2" s="6">
        <f>TeamViewerBreakInput[[#This Row],[Total revenue]]-TeamViewerBreakInput[[#This Row],[Cost of goods sold]]</f>
        <v>74.850000000000009</v>
      </c>
      <c r="O2" s="5">
        <v>37.700000000000003</v>
      </c>
      <c r="P2" s="7">
        <v>0.55000000000000004</v>
      </c>
      <c r="Q2" s="5">
        <v>7.617</v>
      </c>
      <c r="R2" s="5">
        <v>11.85</v>
      </c>
      <c r="S2" s="5">
        <f>9.3+5.3</f>
        <v>14.600000000000001</v>
      </c>
      <c r="T2" s="7">
        <f>TeamViewerBreakInput[[#This Row],[Cost of goods sold]]/TeamViewerBreakInput[[#This Row],[Total revenue]]</f>
        <v>0.13667820069204151</v>
      </c>
      <c r="U2" s="7">
        <f>TeamViewerBreakInput[[#This Row],[R&amp;D]]/TeamViewerBreakInput[[#This Row],[Total revenue]]</f>
        <v>8.7854671280276811E-2</v>
      </c>
      <c r="V2" s="7">
        <f>TeamViewerBreakInput[[#This Row],[Sales &amp; Marketing]]/TeamViewerBreakInput[[#This Row],[Total revenue]]</f>
        <v>0.16839677047289506</v>
      </c>
    </row>
    <row r="3" spans="1:22" ht="16.5">
      <c r="A3" s="4" t="s">
        <v>22</v>
      </c>
      <c r="B3" s="4" t="s">
        <v>24</v>
      </c>
      <c r="C3" s="5">
        <v>94.52</v>
      </c>
      <c r="D3" s="5"/>
      <c r="E3" s="5"/>
      <c r="F3" s="5"/>
      <c r="G3" s="5"/>
      <c r="H3" s="5"/>
      <c r="I3" s="5"/>
      <c r="J3" s="5"/>
      <c r="K3" s="6"/>
      <c r="L3" s="6"/>
      <c r="M3" s="6"/>
      <c r="N3" s="6">
        <f>TeamViewerBreakInput[[#This Row],[Total revenue]]-TeamViewerBreakInput[[#This Row],[Cost of goods sold]]</f>
        <v>82.61999999999999</v>
      </c>
      <c r="O3" s="5">
        <f>182-146.3</f>
        <v>35.699999999999989</v>
      </c>
      <c r="P3" s="7"/>
      <c r="Q3" s="5">
        <v>8.8000000000000007</v>
      </c>
      <c r="R3" s="5">
        <v>11.9</v>
      </c>
      <c r="S3" s="5">
        <f>11.2+5.9</f>
        <v>17.100000000000001</v>
      </c>
      <c r="T3" s="7">
        <f>TeamViewerBreakInput[[#This Row],[Cost of goods sold]]/TeamViewerBreakInput[[#This Row],[Total revenue]]</f>
        <v>0.12589928057553959</v>
      </c>
      <c r="U3" s="7">
        <f>TeamViewerBreakInput[[#This Row],[R&amp;D]]/TeamViewerBreakInput[[#This Row],[Total revenue]]</f>
        <v>9.3101988997037671E-2</v>
      </c>
      <c r="V3" s="7">
        <f>TeamViewerBreakInput[[#This Row],[Sales &amp; Marketing]]/TeamViewerBreakInput[[#This Row],[Total revenue]]</f>
        <v>0.18091409225560731</v>
      </c>
    </row>
    <row r="4" spans="1:22" ht="16.5">
      <c r="A4" s="4" t="s">
        <v>22</v>
      </c>
      <c r="B4" s="4" t="s">
        <v>25</v>
      </c>
      <c r="C4" s="5">
        <v>102</v>
      </c>
      <c r="D4" s="5"/>
      <c r="E4" s="5"/>
      <c r="F4" s="5"/>
      <c r="G4" s="5"/>
      <c r="H4" s="5"/>
      <c r="I4" s="5"/>
      <c r="J4" s="5"/>
      <c r="K4" s="6">
        <v>103</v>
      </c>
      <c r="L4" s="6"/>
      <c r="M4" s="6"/>
      <c r="N4" s="6">
        <f>TeamViewerBreakInput[[#This Row],[Total revenue]]-TeamViewerBreakInput[[#This Row],[Cost of goods sold]]</f>
        <v>89.36</v>
      </c>
      <c r="O4" s="5">
        <v>46</v>
      </c>
      <c r="P4" s="7">
        <v>0.56000000000000005</v>
      </c>
      <c r="Q4" s="5">
        <v>10.28</v>
      </c>
      <c r="R4" s="5">
        <v>12.64</v>
      </c>
      <c r="S4" s="5">
        <f>14.1+6.1</f>
        <v>20.2</v>
      </c>
      <c r="T4" s="7">
        <f>TeamViewerBreakInput[[#This Row],[Cost of goods sold]]/TeamViewerBreakInput[[#This Row],[Total revenue]]</f>
        <v>0.12392156862745099</v>
      </c>
      <c r="U4" s="7">
        <f>TeamViewerBreakInput[[#This Row],[R&amp;D]]/TeamViewerBreakInput[[#This Row],[Total revenue]]</f>
        <v>0.1007843137254902</v>
      </c>
      <c r="V4" s="7">
        <f>TeamViewerBreakInput[[#This Row],[Sales &amp; Marketing]]/TeamViewerBreakInput[[#This Row],[Total revenue]]</f>
        <v>0.1980392156862745</v>
      </c>
    </row>
    <row r="5" spans="1:22" ht="16.5">
      <c r="A5" s="4" t="s">
        <v>22</v>
      </c>
      <c r="B5" s="4" t="s">
        <v>26</v>
      </c>
      <c r="C5" s="5">
        <v>106.9</v>
      </c>
      <c r="D5" s="5"/>
      <c r="E5" s="5"/>
      <c r="F5" s="5"/>
      <c r="G5" s="5"/>
      <c r="H5" s="5"/>
      <c r="I5" s="5"/>
      <c r="J5" s="5"/>
      <c r="K5" s="6">
        <v>102</v>
      </c>
      <c r="L5" s="6"/>
      <c r="M5" s="6"/>
      <c r="N5" s="6">
        <f>TeamViewerBreakInput[[#This Row],[Total revenue]]-TeamViewerBreakInput[[#This Row],[Cost of goods sold]]</f>
        <v>93.09</v>
      </c>
      <c r="O5" s="5">
        <v>62.6</v>
      </c>
      <c r="P5" s="7">
        <v>0.55421686746987953</v>
      </c>
      <c r="Q5" s="5">
        <f>11.136</f>
        <v>11.135999999999999</v>
      </c>
      <c r="R5" s="5">
        <f>13.81</f>
        <v>13.81</v>
      </c>
      <c r="S5" s="5">
        <f>18.1+12.22</f>
        <v>30.32</v>
      </c>
      <c r="T5" s="7">
        <f>TeamViewerBreakInput[[#This Row],[Cost of goods sold]]/TeamViewerBreakInput[[#This Row],[Total revenue]]</f>
        <v>0.12918615528531338</v>
      </c>
      <c r="U5" s="7">
        <f>TeamViewerBreakInput[[#This Row],[R&amp;D]]/TeamViewerBreakInput[[#This Row],[Total revenue]]</f>
        <v>0.10417212347988773</v>
      </c>
      <c r="V5" s="7">
        <f>TeamViewerBreakInput[[#This Row],[Sales &amp; Marketing]]/TeamViewerBreakInput[[#This Row],[Total revenue]]</f>
        <v>0.28362956033676334</v>
      </c>
    </row>
    <row r="6" spans="1:22" ht="16.5">
      <c r="A6" s="4" t="s">
        <v>22</v>
      </c>
      <c r="B6" s="4" t="s">
        <v>27</v>
      </c>
      <c r="C6" s="5">
        <v>102.7</v>
      </c>
      <c r="D6" s="5"/>
      <c r="E6" s="5"/>
      <c r="F6" s="5"/>
      <c r="G6" s="5"/>
      <c r="H6" s="5"/>
      <c r="I6" s="5"/>
      <c r="J6" s="5"/>
      <c r="K6" s="6">
        <v>106</v>
      </c>
      <c r="L6" s="6"/>
      <c r="M6" s="6"/>
      <c r="N6" s="6">
        <f>TeamViewerBreakInput[[#This Row],[Total revenue]]-TeamViewerBreakInput[[#This Row],[Cost of goods sold]]</f>
        <v>88.600000000000009</v>
      </c>
      <c r="O6" s="5">
        <v>73.900000000000006</v>
      </c>
      <c r="P6" s="7">
        <v>0.62226640159045732</v>
      </c>
      <c r="Q6" s="5">
        <v>9.5</v>
      </c>
      <c r="R6" s="5">
        <v>14.1</v>
      </c>
      <c r="S6" s="5">
        <f>15.7+8.7</f>
        <v>24.4</v>
      </c>
      <c r="T6" s="7">
        <f>TeamViewerBreakInput[[#This Row],[Cost of goods sold]]/TeamViewerBreakInput[[#This Row],[Total revenue]]</f>
        <v>0.13729308666017526</v>
      </c>
      <c r="U6" s="7">
        <f>TeamViewerBreakInput[[#This Row],[R&amp;D]]/TeamViewerBreakInput[[#This Row],[Total revenue]]</f>
        <v>9.2502434274586168E-2</v>
      </c>
      <c r="V6" s="7">
        <f>TeamViewerBreakInput[[#This Row],[Sales &amp; Marketing]]/TeamViewerBreakInput[[#This Row],[Total revenue]]</f>
        <v>0.23758519961051605</v>
      </c>
    </row>
    <row r="7" spans="1:22" ht="16.5">
      <c r="A7" s="4" t="s">
        <v>22</v>
      </c>
      <c r="B7" s="4" t="s">
        <v>28</v>
      </c>
      <c r="C7" s="5">
        <v>114.7</v>
      </c>
      <c r="D7" s="5"/>
      <c r="E7" s="5"/>
      <c r="F7" s="5"/>
      <c r="G7" s="5"/>
      <c r="H7" s="5"/>
      <c r="I7" s="5"/>
      <c r="J7" s="5"/>
      <c r="K7" s="6">
        <v>105</v>
      </c>
      <c r="L7" s="6"/>
      <c r="M7" s="6"/>
      <c r="N7" s="6">
        <f>TeamViewerBreakInput[[#This Row],[Total revenue]]-TeamViewerBreakInput[[#This Row],[Cost of goods sold]]</f>
        <v>98.5</v>
      </c>
      <c r="O7" s="5">
        <v>57.2</v>
      </c>
      <c r="P7" s="7">
        <v>0.61737677527151213</v>
      </c>
      <c r="Q7" s="5">
        <v>9.6</v>
      </c>
      <c r="R7" s="5">
        <v>16.2</v>
      </c>
      <c r="S7" s="5">
        <f>17.7+9</f>
        <v>26.7</v>
      </c>
      <c r="T7" s="7">
        <f>TeamViewerBreakInput[[#This Row],[Cost of goods sold]]/TeamViewerBreakInput[[#This Row],[Total revenue]]</f>
        <v>0.14123801220575413</v>
      </c>
      <c r="U7" s="7">
        <f>TeamViewerBreakInput[[#This Row],[R&amp;D]]/TeamViewerBreakInput[[#This Row],[Total revenue]]</f>
        <v>8.3696599825632073E-2</v>
      </c>
      <c r="V7" s="7">
        <f>TeamViewerBreakInput[[#This Row],[Sales &amp; Marketing]]/TeamViewerBreakInput[[#This Row],[Total revenue]]</f>
        <v>0.23278116826503922</v>
      </c>
    </row>
    <row r="8" spans="1:22" ht="16.5">
      <c r="A8" s="4" t="s">
        <v>22</v>
      </c>
      <c r="B8" s="4" t="s">
        <v>29</v>
      </c>
      <c r="C8" s="5">
        <v>117.2</v>
      </c>
      <c r="D8" s="5"/>
      <c r="E8" s="5"/>
      <c r="F8" s="5"/>
      <c r="G8" s="5"/>
      <c r="H8" s="5"/>
      <c r="I8" s="5"/>
      <c r="J8" s="5"/>
      <c r="K8" s="6">
        <v>104</v>
      </c>
      <c r="L8" s="6"/>
      <c r="M8" s="6"/>
      <c r="N8" s="6">
        <f>TeamViewerBreakInput[[#This Row],[Total revenue]]-TeamViewerBreakInput[[#This Row],[Cost of goods sold]]</f>
        <v>100.85</v>
      </c>
      <c r="O8" s="5">
        <v>58.2</v>
      </c>
      <c r="P8" s="7">
        <v>0.53962264150943395</v>
      </c>
      <c r="Q8" s="5">
        <v>12.06</v>
      </c>
      <c r="R8" s="5">
        <v>16.350000000000001</v>
      </c>
      <c r="S8" s="5">
        <f>19.1+9.4</f>
        <v>28.5</v>
      </c>
      <c r="T8" s="7">
        <f>TeamViewerBreakInput[[#This Row],[Cost of goods sold]]/TeamViewerBreakInput[[#This Row],[Total revenue]]</f>
        <v>0.13950511945392494</v>
      </c>
      <c r="U8" s="7">
        <f>TeamViewerBreakInput[[#This Row],[R&amp;D]]/TeamViewerBreakInput[[#This Row],[Total revenue]]</f>
        <v>0.10290102389078498</v>
      </c>
      <c r="V8" s="7">
        <f>TeamViewerBreakInput[[#This Row],[Sales &amp; Marketing]]/TeamViewerBreakInput[[#This Row],[Total revenue]]</f>
        <v>0.24317406143344708</v>
      </c>
    </row>
    <row r="9" spans="1:22" ht="16.5">
      <c r="A9" s="4" t="s">
        <v>22</v>
      </c>
      <c r="B9" s="4" t="s">
        <v>30</v>
      </c>
      <c r="C9" s="5">
        <f>455.6-C6-C7-C8</f>
        <v>121.00000000000004</v>
      </c>
      <c r="D9" s="5"/>
      <c r="E9" s="5"/>
      <c r="F9" s="5"/>
      <c r="G9" s="5"/>
      <c r="H9" s="5"/>
      <c r="I9" s="5"/>
      <c r="J9" s="5"/>
      <c r="K9" s="6">
        <v>103</v>
      </c>
      <c r="L9" s="6"/>
      <c r="M9" s="6"/>
      <c r="N9" s="6">
        <f>TeamViewerBreakInput[[#This Row],[Total revenue]]-TeamViewerBreakInput[[#This Row],[Cost of goods sold]]</f>
        <v>103.53500000000004</v>
      </c>
      <c r="O9" s="5">
        <v>72.099999999999994</v>
      </c>
      <c r="P9" s="7">
        <v>0.54699248120300747</v>
      </c>
      <c r="Q9" s="5">
        <f>15.439</f>
        <v>15.439</v>
      </c>
      <c r="R9" s="5">
        <f>17.465</f>
        <v>17.465</v>
      </c>
      <c r="S9" s="5">
        <f>25.1+11.24</f>
        <v>36.340000000000003</v>
      </c>
      <c r="T9" s="7">
        <f>TeamViewerBreakInput[[#This Row],[Cost of goods sold]]/TeamViewerBreakInput[[#This Row],[Total revenue]]</f>
        <v>0.14433884297520655</v>
      </c>
      <c r="U9" s="7">
        <f>TeamViewerBreakInput[[#This Row],[R&amp;D]]/TeamViewerBreakInput[[#This Row],[Total revenue]]</f>
        <v>0.127595041322314</v>
      </c>
      <c r="V9" s="7">
        <f>TeamViewerBreakInput[[#This Row],[Sales &amp; Marketing]]/TeamViewerBreakInput[[#This Row],[Total revenue]]</f>
        <v>0.30033057851239664</v>
      </c>
    </row>
    <row r="10" spans="1:22" ht="16.5">
      <c r="A10" s="4" t="s">
        <v>22</v>
      </c>
      <c r="B10" s="4" t="s">
        <v>31</v>
      </c>
      <c r="C10" s="5">
        <v>118.3</v>
      </c>
      <c r="D10" s="5"/>
      <c r="E10" s="5"/>
      <c r="F10" s="5"/>
      <c r="G10" s="5"/>
      <c r="H10" s="5"/>
      <c r="I10" s="5"/>
      <c r="J10" s="5"/>
      <c r="K10" s="6">
        <v>100</v>
      </c>
      <c r="L10" s="6"/>
      <c r="M10" s="6"/>
      <c r="N10" s="6">
        <f>TeamViewerBreakInput[[#This Row],[Total revenue]]-TeamViewerBreakInput[[#This Row],[Cost of goods sold]]</f>
        <v>100.02</v>
      </c>
      <c r="O10" s="5">
        <v>90</v>
      </c>
      <c r="P10" s="7">
        <v>0.61391541609822653</v>
      </c>
      <c r="Q10" s="5">
        <v>13.814</v>
      </c>
      <c r="R10" s="5">
        <f>18.28</f>
        <v>18.28</v>
      </c>
      <c r="S10" s="5">
        <f>24.6+12.9</f>
        <v>37.5</v>
      </c>
      <c r="T10" s="7">
        <f>TeamViewerBreakInput[[#This Row],[Cost of goods sold]]/TeamViewerBreakInput[[#This Row],[Total revenue]]</f>
        <v>0.15452240067624684</v>
      </c>
      <c r="U10" s="7">
        <f>TeamViewerBreakInput[[#This Row],[R&amp;D]]/TeamViewerBreakInput[[#This Row],[Total revenue]]</f>
        <v>0.116770921386306</v>
      </c>
      <c r="V10" s="7">
        <f>TeamViewerBreakInput[[#This Row],[Sales &amp; Marketing]]/TeamViewerBreakInput[[#This Row],[Total revenue]]</f>
        <v>0.31699070160608622</v>
      </c>
    </row>
    <row r="11" spans="1:22" ht="16.5">
      <c r="A11" s="4" t="s">
        <v>22</v>
      </c>
      <c r="B11" s="4" t="s">
        <v>32</v>
      </c>
      <c r="C11" s="5">
        <v>122.9</v>
      </c>
      <c r="D11" s="5"/>
      <c r="E11" s="5"/>
      <c r="F11" s="5"/>
      <c r="G11" s="5"/>
      <c r="H11" s="5"/>
      <c r="I11" s="5"/>
      <c r="J11" s="5"/>
      <c r="K11" s="6">
        <v>95</v>
      </c>
      <c r="L11" s="6"/>
      <c r="M11" s="6"/>
      <c r="N11" s="6">
        <f>TeamViewerBreakInput[[#This Row],[Total revenue]]-TeamViewerBreakInput[[#This Row],[Cost of goods sold]]</f>
        <v>104.24000000000001</v>
      </c>
      <c r="O11" s="5">
        <v>57</v>
      </c>
      <c r="P11" s="7">
        <v>0.46913580246913578</v>
      </c>
      <c r="Q11" s="5">
        <f>29.996-Q10</f>
        <v>16.181999999999999</v>
      </c>
      <c r="R11" s="8">
        <f>36.94-R10</f>
        <v>18.659999999999997</v>
      </c>
      <c r="S11" s="5">
        <f>50.8+31.3-S10</f>
        <v>44.599999999999994</v>
      </c>
      <c r="T11" s="7">
        <f>TeamViewerBreakInput[[#This Row],[Cost of goods sold]]/TeamViewerBreakInput[[#This Row],[Total revenue]]</f>
        <v>0.15183075671277457</v>
      </c>
      <c r="U11" s="7">
        <f>TeamViewerBreakInput[[#This Row],[R&amp;D]]/TeamViewerBreakInput[[#This Row],[Total revenue]]</f>
        <v>0.13166802278275019</v>
      </c>
      <c r="V11" s="7">
        <f>TeamViewerBreakInput[[#This Row],[Sales &amp; Marketing]]/TeamViewerBreakInput[[#This Row],[Total revenue]]</f>
        <v>0.36289666395443443</v>
      </c>
    </row>
    <row r="12" spans="1:22" ht="16.5">
      <c r="A12" s="4" t="s">
        <v>22</v>
      </c>
      <c r="B12" s="4" t="s">
        <v>33</v>
      </c>
      <c r="C12" s="5">
        <v>127.7</v>
      </c>
      <c r="D12" s="5"/>
      <c r="E12" s="5"/>
      <c r="F12" s="5"/>
      <c r="G12" s="5"/>
      <c r="H12" s="5"/>
      <c r="I12" s="5"/>
      <c r="J12" s="5"/>
      <c r="K12" s="6">
        <v>96</v>
      </c>
      <c r="L12" s="6"/>
      <c r="M12" s="6"/>
      <c r="N12" s="6">
        <f>TeamViewerBreakInput[[#This Row],[Total revenue]]-TeamViewerBreakInput[[#This Row],[Cost of goods sold]]</f>
        <v>110.998</v>
      </c>
      <c r="O12" s="5">
        <v>42.3</v>
      </c>
      <c r="P12" s="7">
        <v>0.33624801271860094</v>
      </c>
      <c r="Q12" s="5">
        <v>14.87</v>
      </c>
      <c r="R12" s="5">
        <f>16.702</f>
        <v>16.702000000000002</v>
      </c>
      <c r="S12" s="5">
        <f>24.57+36.28</f>
        <v>60.85</v>
      </c>
      <c r="T12" s="7">
        <f>TeamViewerBreakInput[[#This Row],[Cost of goods sold]]/TeamViewerBreakInput[[#This Row],[Total revenue]]</f>
        <v>0.13079091620986688</v>
      </c>
      <c r="U12" s="7">
        <f>TeamViewerBreakInput[[#This Row],[R&amp;D]]/TeamViewerBreakInput[[#This Row],[Total revenue]]</f>
        <v>0.11644479248238057</v>
      </c>
      <c r="V12" s="7">
        <f>TeamViewerBreakInput[[#This Row],[Sales &amp; Marketing]]/TeamViewerBreakInput[[#This Row],[Total revenue]]</f>
        <v>0.47650743931088491</v>
      </c>
    </row>
    <row r="13" spans="1:22" ht="16.5">
      <c r="A13" s="4" t="s">
        <v>22</v>
      </c>
      <c r="B13" s="4" t="s">
        <v>34</v>
      </c>
      <c r="C13" s="5">
        <v>132.30000000000001</v>
      </c>
      <c r="D13" s="5"/>
      <c r="E13" s="5"/>
      <c r="F13" s="5"/>
      <c r="G13" s="5"/>
      <c r="H13" s="5"/>
      <c r="I13" s="5"/>
      <c r="J13" s="5"/>
      <c r="K13" s="6">
        <v>105</v>
      </c>
      <c r="L13" s="6"/>
      <c r="M13" s="6"/>
      <c r="N13" s="6">
        <f>TeamViewerBreakInput[[#This Row],[Total revenue]]-TeamViewerBreakInput[[#This Row],[Cost of goods sold]]</f>
        <v>115.01200000000001</v>
      </c>
      <c r="O13" s="5">
        <v>67.7</v>
      </c>
      <c r="P13" s="7">
        <v>0.44046844502277166</v>
      </c>
      <c r="Q13" s="5">
        <v>17.3</v>
      </c>
      <c r="R13" s="5">
        <f>17.288</f>
        <v>17.288</v>
      </c>
      <c r="S13" s="5">
        <f>28.48+13.79</f>
        <v>42.269999999999996</v>
      </c>
      <c r="T13" s="7">
        <f>TeamViewerBreakInput[[#This Row],[Cost of goods sold]]/TeamViewerBreakInput[[#This Row],[Total revenue]]</f>
        <v>0.13067271352985638</v>
      </c>
      <c r="U13" s="7">
        <f>TeamViewerBreakInput[[#This Row],[R&amp;D]]/TeamViewerBreakInput[[#This Row],[Total revenue]]</f>
        <v>0.13076341647770218</v>
      </c>
      <c r="V13" s="7">
        <f>TeamViewerBreakInput[[#This Row],[Sales &amp; Marketing]]/TeamViewerBreakInput[[#This Row],[Total revenue]]</f>
        <v>0.31950113378684802</v>
      </c>
    </row>
    <row r="14" spans="1:22" ht="16.5">
      <c r="A14" s="4" t="s">
        <v>22</v>
      </c>
      <c r="B14" s="4" t="s">
        <v>35</v>
      </c>
      <c r="C14" s="5">
        <v>134.5</v>
      </c>
      <c r="D14" s="5"/>
      <c r="E14" s="5"/>
      <c r="F14" s="5">
        <v>23.9</v>
      </c>
      <c r="G14" s="5">
        <v>110.6</v>
      </c>
      <c r="H14" s="5"/>
      <c r="I14" s="5"/>
      <c r="J14" s="5"/>
      <c r="K14" s="6">
        <v>101</v>
      </c>
      <c r="L14" s="6"/>
      <c r="M14" s="6"/>
      <c r="N14" s="6">
        <f>TeamViewerBreakInput[[#This Row],[Total revenue]]-TeamViewerBreakInput[[#This Row],[Cost of goods sold]]</f>
        <v>116.31</v>
      </c>
      <c r="O14" s="5">
        <v>83.2</v>
      </c>
      <c r="P14" s="7">
        <v>0.50886850152905205</v>
      </c>
      <c r="Q14" s="5">
        <v>16.79</v>
      </c>
      <c r="R14" s="5">
        <f>18.19</f>
        <v>18.190000000000001</v>
      </c>
      <c r="S14" s="5">
        <f>31.8+22.8</f>
        <v>54.6</v>
      </c>
      <c r="T14" s="7">
        <f>TeamViewerBreakInput[[#This Row],[Cost of goods sold]]/TeamViewerBreakInput[[#This Row],[Total revenue]]</f>
        <v>0.13524163568773234</v>
      </c>
      <c r="U14" s="7">
        <f>TeamViewerBreakInput[[#This Row],[R&amp;D]]/TeamViewerBreakInput[[#This Row],[Total revenue]]</f>
        <v>0.12483271375464683</v>
      </c>
      <c r="V14" s="7">
        <f>TeamViewerBreakInput[[#This Row],[Sales &amp; Marketing]]/TeamViewerBreakInput[[#This Row],[Total revenue]]</f>
        <v>0.40594795539033457</v>
      </c>
    </row>
    <row r="15" spans="1:22" ht="16.5">
      <c r="A15" s="4" t="s">
        <v>22</v>
      </c>
      <c r="B15" s="4" t="s">
        <v>36</v>
      </c>
      <c r="C15" s="5">
        <v>137.5</v>
      </c>
      <c r="D15" s="5"/>
      <c r="E15" s="5"/>
      <c r="F15" s="5">
        <f>45.7-F14</f>
        <v>21.800000000000004</v>
      </c>
      <c r="G15" s="5">
        <f>226.2-G14</f>
        <v>115.6</v>
      </c>
      <c r="H15" s="5"/>
      <c r="I15" s="5"/>
      <c r="J15" s="5"/>
      <c r="K15" s="6">
        <v>101</v>
      </c>
      <c r="L15" s="6"/>
      <c r="M15" s="6"/>
      <c r="N15" s="6">
        <f>TeamViewerBreakInput[[#This Row],[Total revenue]]-TeamViewerBreakInput[[#This Row],[Cost of goods sold]]</f>
        <v>120.032</v>
      </c>
      <c r="O15" s="5">
        <v>58.1</v>
      </c>
      <c r="P15" s="7">
        <v>0.42689199118295373</v>
      </c>
      <c r="Q15" s="5">
        <f>35.044-Q14</f>
        <v>18.253999999999998</v>
      </c>
      <c r="R15" s="5">
        <f>35.658-R14</f>
        <v>17.468</v>
      </c>
      <c r="S15" s="5">
        <f>48.2+63.2-S14</f>
        <v>56.800000000000004</v>
      </c>
      <c r="T15" s="7">
        <f>TeamViewerBreakInput[[#This Row],[Cost of goods sold]]/TeamViewerBreakInput[[#This Row],[Total revenue]]</f>
        <v>0.12703999999999999</v>
      </c>
      <c r="U15" s="7">
        <f>TeamViewerBreakInput[[#This Row],[R&amp;D]]/TeamViewerBreakInput[[#This Row],[Total revenue]]</f>
        <v>0.13275636363636362</v>
      </c>
      <c r="V15" s="7">
        <f>TeamViewerBreakInput[[#This Row],[Sales &amp; Marketing]]/TeamViewerBreakInput[[#This Row],[Total revenue]]</f>
        <v>0.41309090909090912</v>
      </c>
    </row>
    <row r="16" spans="1:22" ht="16.5">
      <c r="A16" s="4" t="s">
        <v>22</v>
      </c>
      <c r="B16" s="4" t="s">
        <v>37</v>
      </c>
      <c r="C16" s="5">
        <v>143.4</v>
      </c>
      <c r="D16" s="5"/>
      <c r="E16" s="5"/>
      <c r="F16" s="5">
        <v>24.9</v>
      </c>
      <c r="G16" s="5">
        <v>118.5</v>
      </c>
      <c r="H16" s="5"/>
      <c r="I16" s="5"/>
      <c r="J16" s="5"/>
      <c r="K16" s="6">
        <v>103</v>
      </c>
      <c r="L16" s="6"/>
      <c r="M16" s="6"/>
      <c r="N16" s="6">
        <f>TeamViewerBreakInput[[#This Row],[Total revenue]]-TeamViewerBreakInput[[#This Row],[Cost of goods sold]]</f>
        <v>118.65600000000001</v>
      </c>
      <c r="O16" s="5">
        <v>60.1</v>
      </c>
      <c r="P16" s="7">
        <v>0.41562932226832644</v>
      </c>
      <c r="Q16" s="5">
        <v>15.15</v>
      </c>
      <c r="R16" s="5">
        <v>24.744</v>
      </c>
      <c r="S16" s="5">
        <f>23.49+12.48</f>
        <v>35.97</v>
      </c>
      <c r="T16" s="7">
        <f>TeamViewerBreakInput[[#This Row],[Cost of goods sold]]/TeamViewerBreakInput[[#This Row],[Total revenue]]</f>
        <v>0.17255230125523011</v>
      </c>
      <c r="U16" s="7">
        <f>TeamViewerBreakInput[[#This Row],[R&amp;D]]/TeamViewerBreakInput[[#This Row],[Total revenue]]</f>
        <v>0.10564853556485355</v>
      </c>
      <c r="V16" s="7">
        <f>TeamViewerBreakInput[[#This Row],[Sales &amp; Marketing]]/TeamViewerBreakInput[[#This Row],[Total revenue]]</f>
        <v>0.25083682008368197</v>
      </c>
    </row>
    <row r="17" spans="1:22" ht="16.5">
      <c r="A17" s="4" t="s">
        <v>22</v>
      </c>
      <c r="B17" s="4" t="s">
        <v>38</v>
      </c>
      <c r="C17" s="5">
        <v>150.5</v>
      </c>
      <c r="D17" s="5"/>
      <c r="E17" s="5"/>
      <c r="F17" s="5">
        <v>28</v>
      </c>
      <c r="G17" s="5">
        <v>122.5</v>
      </c>
      <c r="H17" s="5">
        <v>602.5</v>
      </c>
      <c r="I17" s="5"/>
      <c r="J17" s="5"/>
      <c r="K17" s="6">
        <v>107</v>
      </c>
      <c r="L17" s="6"/>
      <c r="M17" s="6"/>
      <c r="N17" s="6">
        <f>TeamViewerBreakInput[[#This Row],[Total revenue]]-TeamViewerBreakInput[[#This Row],[Cost of goods sold]]</f>
        <v>129.61000000000001</v>
      </c>
      <c r="O17" s="5">
        <v>57.3</v>
      </c>
      <c r="P17" s="7">
        <v>0.38</v>
      </c>
      <c r="Q17" s="5">
        <v>19.3</v>
      </c>
      <c r="R17" s="5">
        <v>20.89</v>
      </c>
      <c r="S17" s="5">
        <f>33.1+27.3</f>
        <v>60.400000000000006</v>
      </c>
      <c r="T17" s="7">
        <f>TeamViewerBreakInput[[#This Row],[Cost of goods sold]]/TeamViewerBreakInput[[#This Row],[Total revenue]]</f>
        <v>0.13880398671096345</v>
      </c>
      <c r="U17" s="7">
        <v>0.12823920265780731</v>
      </c>
      <c r="V17" s="7">
        <f>TeamViewerBreakInput[[#This Row],[Sales &amp; Marketing]]/TeamViewerBreakInput[[#This Row],[Total revenue]]</f>
        <v>0.40132890365448509</v>
      </c>
    </row>
    <row r="18" spans="1:22" ht="16.5">
      <c r="A18" s="4" t="s">
        <v>22</v>
      </c>
      <c r="B18" s="4" t="s">
        <v>39</v>
      </c>
      <c r="C18" s="5">
        <v>151.30000000000001</v>
      </c>
      <c r="D18" s="5"/>
      <c r="E18" s="5"/>
      <c r="F18" s="5">
        <v>28.9</v>
      </c>
      <c r="G18" s="5">
        <v>122.4</v>
      </c>
      <c r="H18" s="5">
        <v>613.6</v>
      </c>
      <c r="I18" s="5"/>
      <c r="J18" s="5"/>
      <c r="K18" s="6">
        <v>107</v>
      </c>
      <c r="L18" s="6"/>
      <c r="M18" s="6"/>
      <c r="N18" s="6">
        <f>TeamViewerBreakInput[[#This Row],[Total revenue]]-TeamViewerBreakInput[[#This Row],[Cost of goods sold]]</f>
        <v>131.82000000000002</v>
      </c>
      <c r="O18" s="5">
        <v>64.099999999999994</v>
      </c>
      <c r="P18" s="7">
        <v>0.4236615994712491</v>
      </c>
      <c r="Q18" s="5">
        <v>18.899999999999999</v>
      </c>
      <c r="R18" s="5">
        <v>19.48</v>
      </c>
      <c r="S18" s="5">
        <f>33+27.8</f>
        <v>60.8</v>
      </c>
      <c r="T18" s="7">
        <f>TeamViewerBreakInput[[#This Row],[Cost of goods sold]]/TeamViewerBreakInput[[#This Row],[Total revenue]]</f>
        <v>0.12875082617316588</v>
      </c>
      <c r="U18" s="7">
        <v>0.12491738268341042</v>
      </c>
      <c r="V18" s="7">
        <f>TeamViewerBreakInput[[#This Row],[Sales &amp; Marketing]]/TeamViewerBreakInput[[#This Row],[Total revenue]]</f>
        <v>0.40185062789160603</v>
      </c>
    </row>
    <row r="19" spans="1:22" ht="16.5">
      <c r="A19" s="4" t="s">
        <v>22</v>
      </c>
      <c r="B19" s="4" t="s">
        <v>40</v>
      </c>
      <c r="C19" s="5">
        <v>154.19999999999999</v>
      </c>
      <c r="D19" s="5"/>
      <c r="E19" s="5"/>
      <c r="F19" s="5">
        <v>29.4</v>
      </c>
      <c r="G19" s="5">
        <v>124.8</v>
      </c>
      <c r="H19" s="5">
        <v>626.20000000000005</v>
      </c>
      <c r="I19" s="5"/>
      <c r="J19" s="5"/>
      <c r="K19" s="6">
        <v>109</v>
      </c>
      <c r="L19" s="6"/>
      <c r="M19" s="6"/>
      <c r="N19" s="6">
        <f>TeamViewerBreakInput[[#This Row],[Total revenue]]-TeamViewerBreakInput[[#This Row],[Cost of goods sold]]</f>
        <v>134.79</v>
      </c>
      <c r="O19" s="5">
        <v>63.8</v>
      </c>
      <c r="P19" s="7">
        <v>0.4137483787289235</v>
      </c>
      <c r="Q19" s="5">
        <v>19.899999999999999</v>
      </c>
      <c r="R19" s="5">
        <f>38.89-R18</f>
        <v>19.41</v>
      </c>
      <c r="S19" s="5">
        <f>68.3+54.6-S18</f>
        <v>62.100000000000009</v>
      </c>
      <c r="T19" s="7">
        <f>TeamViewerBreakInput[[#This Row],[Cost of goods sold]]/TeamViewerBreakInput[[#This Row],[Total revenue]]</f>
        <v>0.12587548638132295</v>
      </c>
      <c r="U19" s="7">
        <v>0.12905317769131</v>
      </c>
      <c r="V19" s="7">
        <f>TeamViewerBreakInput[[#This Row],[Sales &amp; Marketing]]/TeamViewerBreakInput[[#This Row],[Total revenue]]</f>
        <v>0.40272373540856038</v>
      </c>
    </row>
    <row r="20" spans="1:22" ht="16.5">
      <c r="A20" s="4" t="s">
        <v>22</v>
      </c>
      <c r="B20" s="4" t="s">
        <v>41</v>
      </c>
      <c r="C20" s="5">
        <v>158.1</v>
      </c>
      <c r="D20" s="5"/>
      <c r="E20" s="5"/>
      <c r="F20" s="5">
        <v>30.5</v>
      </c>
      <c r="G20" s="5">
        <v>127.6</v>
      </c>
      <c r="H20" s="5">
        <v>631.79999999999995</v>
      </c>
      <c r="I20" s="5">
        <v>117.2</v>
      </c>
      <c r="J20" s="5">
        <v>514.5</v>
      </c>
      <c r="K20" s="6">
        <v>107</v>
      </c>
      <c r="L20" s="6"/>
      <c r="M20" s="6"/>
      <c r="N20" s="6">
        <f>TeamViewerBreakInput[[#This Row],[Total revenue]]-TeamViewerBreakInput[[#This Row],[Cost of goods sold]]</f>
        <v>137.34899999999999</v>
      </c>
      <c r="O20" s="5">
        <v>70.3</v>
      </c>
      <c r="P20" s="7">
        <v>0.44465528146742567</v>
      </c>
      <c r="Q20" s="5">
        <v>19.600000000000001</v>
      </c>
      <c r="R20" s="5">
        <f>20.751</f>
        <v>20.751000000000001</v>
      </c>
      <c r="S20" s="5">
        <f>33.3+23.4</f>
        <v>56.699999999999996</v>
      </c>
      <c r="T20" s="7">
        <f>TeamViewerBreakInput[[#This Row],[Cost of goods sold]]/TeamViewerBreakInput[[#This Row],[Total revenue]]</f>
        <v>0.13125237191650854</v>
      </c>
      <c r="U20" s="7">
        <v>0.1239721695129665</v>
      </c>
      <c r="V20" s="7">
        <f>TeamViewerBreakInput[[#This Row],[Sales &amp; Marketing]]/TeamViewerBreakInput[[#This Row],[Total revenue]]</f>
        <v>0.3586337760910816</v>
      </c>
    </row>
    <row r="21" spans="1:22" ht="16.5">
      <c r="A21" s="4" t="s">
        <v>22</v>
      </c>
      <c r="B21" s="4" t="s">
        <v>42</v>
      </c>
      <c r="C21" s="5">
        <v>163.1</v>
      </c>
      <c r="D21" s="5"/>
      <c r="E21" s="5"/>
      <c r="F21" s="5">
        <v>33.299999999999997</v>
      </c>
      <c r="G21" s="5">
        <v>129.9</v>
      </c>
      <c r="H21" s="5">
        <v>649.5</v>
      </c>
      <c r="I21" s="5">
        <v>124.3</v>
      </c>
      <c r="J21" s="5">
        <v>519.79999999999995</v>
      </c>
      <c r="K21" s="6">
        <v>104</v>
      </c>
      <c r="L21" s="6">
        <v>99</v>
      </c>
      <c r="M21" s="6"/>
      <c r="N21" s="6">
        <f>TeamViewerBreakInput[[#This Row],[Total revenue]]-TeamViewerBreakInput[[#This Row],[Cost of goods sold]]</f>
        <v>140.94</v>
      </c>
      <c r="O21" s="5">
        <v>62.4</v>
      </c>
      <c r="P21" s="7">
        <v>0.38258736971183321</v>
      </c>
      <c r="Q21" s="5">
        <v>21.8</v>
      </c>
      <c r="R21" s="5">
        <v>22.16</v>
      </c>
      <c r="S21" s="5">
        <f>37+28.5</f>
        <v>65.5</v>
      </c>
      <c r="T21" s="7">
        <f>TeamViewerBreakInput[[#This Row],[Cost of goods sold]]/TeamViewerBreakInput[[#This Row],[Total revenue]]</f>
        <v>0.13586756591048438</v>
      </c>
      <c r="U21" s="7">
        <v>0.13366033108522379</v>
      </c>
      <c r="V21" s="7">
        <f>TeamViewerBreakInput[[#This Row],[Sales &amp; Marketing]]/TeamViewerBreakInput[[#This Row],[Total revenue]]</f>
        <v>0.40159411404046597</v>
      </c>
    </row>
    <row r="22" spans="1:22" ht="16.5">
      <c r="A22" s="4" t="s">
        <v>22</v>
      </c>
      <c r="B22" s="4" t="s">
        <v>43</v>
      </c>
      <c r="C22" s="5">
        <v>161.69999999999999</v>
      </c>
      <c r="D22" s="5"/>
      <c r="E22" s="5"/>
      <c r="F22" s="5">
        <v>33.700000000000003</v>
      </c>
      <c r="G22" s="5">
        <v>128</v>
      </c>
      <c r="H22" s="5">
        <v>656.9</v>
      </c>
      <c r="I22" s="5">
        <v>185.6</v>
      </c>
      <c r="J22" s="5">
        <v>525</v>
      </c>
      <c r="K22" s="6">
        <v>103</v>
      </c>
      <c r="L22" s="6">
        <v>98</v>
      </c>
      <c r="M22" s="6"/>
      <c r="N22" s="6">
        <f>TeamViewerBreakInput[[#This Row],[Total revenue]]-TeamViewerBreakInput[[#This Row],[Cost of goods sold]]</f>
        <v>139.61199999999999</v>
      </c>
      <c r="O22" s="5">
        <v>65.2</v>
      </c>
      <c r="P22" s="7">
        <v>0.40321583178726039</v>
      </c>
      <c r="Q22" s="5">
        <v>19.7</v>
      </c>
      <c r="R22" s="5">
        <v>22.088000000000001</v>
      </c>
      <c r="S22" s="5">
        <f>35.5+28.25</f>
        <v>63.75</v>
      </c>
      <c r="T22" s="7">
        <f>TeamViewerBreakInput[[#This Row],[Cost of goods sold]]/TeamViewerBreakInput[[#This Row],[Total revenue]]</f>
        <v>0.13659863945578232</v>
      </c>
      <c r="U22" s="7">
        <v>0.12183055040197897</v>
      </c>
      <c r="V22" s="7">
        <f>TeamViewerBreakInput[[#This Row],[Sales &amp; Marketing]]/TeamViewerBreakInput[[#This Row],[Total revenue]]</f>
        <v>0.39424860853432286</v>
      </c>
    </row>
    <row r="23" spans="1:22" ht="16.5">
      <c r="A23" s="4" t="s">
        <v>22</v>
      </c>
      <c r="B23" s="4" t="s">
        <v>44</v>
      </c>
      <c r="C23" s="5">
        <v>164.1</v>
      </c>
      <c r="D23" s="5"/>
      <c r="E23" s="5"/>
      <c r="F23" s="5">
        <v>35.1</v>
      </c>
      <c r="G23" s="5">
        <v>129</v>
      </c>
      <c r="H23" s="5">
        <v>667</v>
      </c>
      <c r="I23" s="5">
        <v>134.69999999999999</v>
      </c>
      <c r="J23" s="5">
        <v>528.6</v>
      </c>
      <c r="K23" s="6">
        <v>102</v>
      </c>
      <c r="L23" s="6"/>
      <c r="M23" s="6"/>
      <c r="N23" s="6">
        <f>TeamViewerBreakInput[[#This Row],[Total revenue]]-TeamViewerBreakInput[[#This Row],[Cost of goods sold]]</f>
        <v>140.69</v>
      </c>
      <c r="O23" s="5">
        <v>67.5</v>
      </c>
      <c r="P23" s="7">
        <v>0.41133455210237663</v>
      </c>
      <c r="Q23" s="5">
        <v>19</v>
      </c>
      <c r="R23" s="5">
        <f>45.498-R22</f>
        <v>23.409999999999997</v>
      </c>
      <c r="S23" s="5">
        <f>69.912+56-S22</f>
        <v>62.162000000000006</v>
      </c>
      <c r="T23" s="7">
        <f>TeamViewerBreakInput[[#This Row],[Cost of goods sold]]/TeamViewerBreakInput[[#This Row],[Total revenue]]</f>
        <v>0.14265691651432053</v>
      </c>
      <c r="U23" s="7">
        <v>0.1157830591102986</v>
      </c>
      <c r="V23" s="7">
        <f>TeamViewerBreakInput[[#This Row],[Sales &amp; Marketing]]/TeamViewerBreakInput[[#This Row],[Total revenue]]</f>
        <v>0.37880560633759908</v>
      </c>
    </row>
    <row r="24" spans="1:22" ht="16.5">
      <c r="A24" s="4" t="s">
        <v>22</v>
      </c>
      <c r="B24" s="4" t="s">
        <v>45</v>
      </c>
      <c r="C24" s="5">
        <v>168.7</v>
      </c>
      <c r="D24" s="5"/>
      <c r="E24" s="5"/>
      <c r="F24" s="5">
        <v>37.1</v>
      </c>
      <c r="G24" s="5">
        <v>131.6</v>
      </c>
      <c r="H24" s="5">
        <v>669.3</v>
      </c>
      <c r="I24" s="5">
        <v>208</v>
      </c>
      <c r="J24" s="5">
        <v>529.6</v>
      </c>
      <c r="K24" s="6">
        <v>99</v>
      </c>
      <c r="L24" s="6">
        <v>99</v>
      </c>
      <c r="M24" s="6"/>
      <c r="N24" s="6">
        <f>TeamViewerBreakInput[[#This Row],[Total revenue]]-TeamViewerBreakInput[[#This Row],[Cost of goods sold]]</f>
        <v>151.30799999999999</v>
      </c>
      <c r="O24" s="5">
        <v>81</v>
      </c>
      <c r="P24" s="7">
        <v>0.48014226437462953</v>
      </c>
      <c r="Q24" s="5">
        <v>21.3</v>
      </c>
      <c r="R24" s="5">
        <v>17.391999999999999</v>
      </c>
      <c r="S24" s="5">
        <f>22.96+28.82</f>
        <v>51.78</v>
      </c>
      <c r="T24" s="7">
        <f>TeamViewerBreakInput[[#This Row],[Cost of goods sold]]/TeamViewerBreakInput[[#This Row],[Total revenue]]</f>
        <v>0.10309425014819205</v>
      </c>
      <c r="U24" s="7">
        <v>0.1262596324836989</v>
      </c>
      <c r="V24" s="7">
        <f>TeamViewerBreakInput[[#This Row],[Sales &amp; Marketing]]/TeamViewerBreakInput[[#This Row],[Total revenue]]</f>
        <v>0.30693538826318911</v>
      </c>
    </row>
    <row r="25" spans="1:22" ht="16.5">
      <c r="A25" s="4" t="s">
        <v>22</v>
      </c>
      <c r="B25" s="4" t="s">
        <v>46</v>
      </c>
      <c r="C25" s="5">
        <v>177</v>
      </c>
      <c r="D25" s="5"/>
      <c r="E25" s="5"/>
      <c r="F25" s="5">
        <v>45.5</v>
      </c>
      <c r="G25" s="5">
        <v>131.5</v>
      </c>
      <c r="H25" s="5">
        <v>684.1</v>
      </c>
      <c r="I25" s="5">
        <v>150.30000000000001</v>
      </c>
      <c r="J25" s="5">
        <v>533.70000000000005</v>
      </c>
      <c r="K25" s="6">
        <v>100</v>
      </c>
      <c r="L25" s="6">
        <v>100</v>
      </c>
      <c r="M25" s="6"/>
      <c r="N25" s="6">
        <f>TeamViewerBreakInput[[#This Row],[Total revenue]]-TeamViewerBreakInput[[#This Row],[Cost of goods sold]]</f>
        <v>159.05699999999999</v>
      </c>
      <c r="O25" s="5">
        <v>83</v>
      </c>
      <c r="P25" s="7">
        <v>0.46892655367231639</v>
      </c>
      <c r="Q25" s="5">
        <v>20</v>
      </c>
      <c r="R25" s="5">
        <f>17.943</f>
        <v>17.943000000000001</v>
      </c>
      <c r="S25" s="5">
        <f>26.7+28.9</f>
        <v>55.599999999999994</v>
      </c>
      <c r="T25" s="7">
        <f>TeamViewerBreakInput[[#This Row],[Cost of goods sold]]/TeamViewerBreakInput[[#This Row],[Total revenue]]</f>
        <v>0.10137288135593221</v>
      </c>
      <c r="U25" s="7">
        <v>0.11299435028248588</v>
      </c>
      <c r="V25" s="7">
        <f>TeamViewerBreakInput[[#This Row],[Sales &amp; Marketing]]/TeamViewerBreakInput[[#This Row],[Total revenue]]</f>
        <v>0.3141242937853107</v>
      </c>
    </row>
    <row r="26" spans="1:22" ht="16.5">
      <c r="A26" s="4" t="s">
        <v>22</v>
      </c>
      <c r="B26" s="4" t="s">
        <v>47</v>
      </c>
      <c r="C26" s="5">
        <v>178.8</v>
      </c>
      <c r="D26" s="5">
        <v>172.5</v>
      </c>
      <c r="E26" s="5">
        <v>6.3</v>
      </c>
      <c r="F26" s="5">
        <v>48.4</v>
      </c>
      <c r="G26" s="5">
        <v>130.4</v>
      </c>
      <c r="H26" s="9">
        <v>759.5</v>
      </c>
      <c r="I26" s="9">
        <v>224.4</v>
      </c>
      <c r="J26" s="9">
        <v>535.20000000000005</v>
      </c>
      <c r="K26" s="10">
        <v>99</v>
      </c>
      <c r="L26" s="10">
        <v>103</v>
      </c>
      <c r="M26" s="6"/>
      <c r="N26" s="6">
        <f>TeamViewerBreakInput[[#This Row],[Total revenue]]-TeamViewerBreakInput[[#This Row],[Cost of goods sold]]</f>
        <v>154.28200000000001</v>
      </c>
      <c r="O26" s="5">
        <v>76.2</v>
      </c>
      <c r="P26" s="7">
        <v>0.42932212296374145</v>
      </c>
      <c r="Q26" s="5">
        <v>23.167999999999999</v>
      </c>
      <c r="R26" s="5">
        <v>24.518000000000001</v>
      </c>
      <c r="S26" s="5">
        <f>27.3+32.9</f>
        <v>60.2</v>
      </c>
      <c r="T26" s="7">
        <v>8.5128744088281652E-2</v>
      </c>
      <c r="U26" s="7">
        <v>0.11613242249080399</v>
      </c>
      <c r="V26" s="7">
        <v>0.29795060430898579</v>
      </c>
    </row>
    <row r="27" spans="1:22" ht="16.5">
      <c r="A27" s="4" t="s">
        <v>22</v>
      </c>
      <c r="B27" s="4" t="s">
        <v>48</v>
      </c>
      <c r="C27" s="5">
        <f>364.382-C26</f>
        <v>185.58199999999999</v>
      </c>
      <c r="D27" s="5"/>
      <c r="E27" s="5"/>
      <c r="F27" s="5">
        <f>102-F26</f>
        <v>53.6</v>
      </c>
      <c r="G27" s="5">
        <v>132</v>
      </c>
      <c r="H27" s="5">
        <v>759.1</v>
      </c>
      <c r="I27" s="5">
        <v>227.1</v>
      </c>
      <c r="J27" s="5">
        <v>532</v>
      </c>
      <c r="K27" s="6">
        <v>98</v>
      </c>
      <c r="L27" s="6">
        <v>98</v>
      </c>
      <c r="M27" s="6"/>
      <c r="N27" s="6">
        <f>TeamViewerBreakInput[[#This Row],[Total revenue]]-TeamViewerBreakInput[[#This Row],[Cost of goods sold]]</f>
        <v>160.90100000000001</v>
      </c>
      <c r="O27" s="5">
        <f>155.1-O26</f>
        <v>78.899999999999991</v>
      </c>
      <c r="P27" s="7">
        <v>0.44018887722980066</v>
      </c>
      <c r="Q27" s="5">
        <f>47.912-Q26</f>
        <v>24.744</v>
      </c>
      <c r="R27" s="5">
        <f>49.199-R26</f>
        <v>24.680999999999997</v>
      </c>
      <c r="S27" s="5">
        <f>59.4+67-S26</f>
        <v>66.2</v>
      </c>
      <c r="T27" s="7">
        <v>8.1322140608604404E-2</v>
      </c>
      <c r="U27" s="7">
        <v>0.11280167890870935</v>
      </c>
      <c r="V27" s="7">
        <v>0.32056663168940192</v>
      </c>
    </row>
    <row r="28" spans="1:22" ht="16.5">
      <c r="A28" s="4" t="s">
        <v>22</v>
      </c>
      <c r="B28" s="4" t="s">
        <v>49</v>
      </c>
      <c r="C28" s="5">
        <v>189.5</v>
      </c>
      <c r="D28" s="5">
        <v>176.6</v>
      </c>
      <c r="E28" s="5">
        <v>12.9</v>
      </c>
      <c r="F28" s="5">
        <v>55.4</v>
      </c>
      <c r="G28" s="5">
        <v>134.1</v>
      </c>
      <c r="H28" s="9">
        <v>756.8</v>
      </c>
      <c r="I28" s="9">
        <v>230.5</v>
      </c>
      <c r="J28" s="9">
        <v>526.29999999999995</v>
      </c>
      <c r="K28" s="6">
        <v>97</v>
      </c>
      <c r="L28" s="6">
        <v>97</v>
      </c>
      <c r="M28" s="6"/>
      <c r="N28" s="6">
        <f>TeamViewerBreakInput[[#This Row],[Total revenue]]-TeamViewerBreakInput[[#This Row],[Cost of goods sold]]</f>
        <v>164.4</v>
      </c>
      <c r="O28" s="5">
        <v>85.2</v>
      </c>
      <c r="P28" s="7">
        <v>0.45</v>
      </c>
      <c r="Q28" s="5">
        <v>23.5</v>
      </c>
      <c r="R28" s="5">
        <v>25.1</v>
      </c>
      <c r="S28" s="5">
        <f>25.4+31.3</f>
        <v>56.7</v>
      </c>
      <c r="T28" s="7">
        <v>7.8645833333333331E-2</v>
      </c>
      <c r="U28" s="7">
        <v>0.11354166666666667</v>
      </c>
      <c r="V28" s="7">
        <v>0.28281249999999997</v>
      </c>
    </row>
    <row r="29" spans="1:22" ht="16.5">
      <c r="A29" s="4" t="s">
        <v>22</v>
      </c>
      <c r="B29" s="4" t="s">
        <v>50</v>
      </c>
      <c r="C29" s="5">
        <v>192.9</v>
      </c>
      <c r="D29" s="5">
        <v>179.2</v>
      </c>
      <c r="E29" s="5">
        <v>13.7</v>
      </c>
      <c r="F29" s="5">
        <v>62</v>
      </c>
      <c r="G29" s="5">
        <v>130.9</v>
      </c>
      <c r="H29" s="5">
        <v>759.7</v>
      </c>
      <c r="I29" s="5">
        <v>241</v>
      </c>
      <c r="J29" s="5">
        <v>518.70000000000005</v>
      </c>
      <c r="K29" s="6">
        <v>95</v>
      </c>
      <c r="L29" s="6">
        <v>96</v>
      </c>
      <c r="M29" s="6"/>
      <c r="N29" s="6">
        <f>TeamViewerBreakInput[[#This Row],[Total revenue]]-TeamViewerBreakInput[[#This Row],[Cost of goods sold]]</f>
        <v>166</v>
      </c>
      <c r="O29" s="5">
        <v>85.2</v>
      </c>
      <c r="P29" s="7">
        <v>0.44707091469681398</v>
      </c>
      <c r="Q29" s="5">
        <v>24.9</v>
      </c>
      <c r="R29" s="5">
        <v>26.9</v>
      </c>
      <c r="S29" s="5">
        <f>23.2+32.3</f>
        <v>55.5</v>
      </c>
      <c r="T29" s="7">
        <v>9.0441932168550884E-2</v>
      </c>
      <c r="U29" s="7">
        <v>0.11973278520041111</v>
      </c>
      <c r="V29" s="7">
        <v>0.27800616649537513</v>
      </c>
    </row>
    <row r="30" spans="1:22" ht="14.25" customHeight="1">
      <c r="A30" s="11" t="s">
        <v>22</v>
      </c>
      <c r="B30" s="11" t="s">
        <v>51</v>
      </c>
      <c r="C30" s="11">
        <v>183.2</v>
      </c>
      <c r="D30" s="5"/>
      <c r="E30" s="5"/>
      <c r="F30" s="11">
        <v>57</v>
      </c>
      <c r="G30" s="11">
        <v>126.2</v>
      </c>
      <c r="H30" s="11">
        <v>737.3</v>
      </c>
      <c r="I30" s="11">
        <v>230.5</v>
      </c>
      <c r="J30" s="11">
        <v>506.7</v>
      </c>
      <c r="K30" s="6">
        <v>93</v>
      </c>
      <c r="L30" s="6">
        <v>93</v>
      </c>
      <c r="M30" s="11"/>
      <c r="N30" s="6">
        <f>TeamViewerBreakInput[[#This Row],[Total revenue]]-TeamViewerBreakInput[[#This Row],[Cost of goods sold]]</f>
        <v>158.79499999999999</v>
      </c>
      <c r="O30" s="11">
        <v>83</v>
      </c>
      <c r="P30" s="12">
        <v>0.45</v>
      </c>
      <c r="Q30" s="5">
        <v>25.515000000000001</v>
      </c>
      <c r="R30" s="5">
        <v>24.405000000000001</v>
      </c>
      <c r="S30" s="5">
        <f>18.94+34.75</f>
        <v>53.69</v>
      </c>
      <c r="T30" s="7">
        <v>9.0441932168550884E-2</v>
      </c>
      <c r="U30" s="7">
        <v>0.11973278520041111</v>
      </c>
      <c r="V30" s="7">
        <v>0.27800616649537513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zoomScaleNormal="100" zoomScaleSheetLayoutView="100" workbookViewId="0">
      <selection activeCell="B12" sqref="B12"/>
    </sheetView>
  </sheetViews>
  <sheetFormatPr defaultRowHeight="15"/>
  <cols>
    <col min="1" max="1" width="28" customWidth="1"/>
    <col min="2" max="2" width="95" customWidth="1"/>
  </cols>
  <sheetData>
    <row r="1" spans="1:2">
      <c r="A1" s="2" t="s">
        <v>52</v>
      </c>
      <c r="B1" s="2" t="s">
        <v>53</v>
      </c>
    </row>
    <row r="2" spans="1:2">
      <c r="A2" s="3" t="s">
        <v>54</v>
      </c>
      <c r="B2" s="3" t="s">
        <v>55</v>
      </c>
    </row>
    <row r="3" spans="1:2">
      <c r="A3" s="3" t="s">
        <v>56</v>
      </c>
      <c r="B3" s="3" t="s">
        <v>57</v>
      </c>
    </row>
    <row r="4" spans="1:2">
      <c r="A4" s="3" t="s">
        <v>2</v>
      </c>
      <c r="B4" s="3" t="s">
        <v>58</v>
      </c>
    </row>
    <row r="5" spans="1:2">
      <c r="A5" s="3" t="s">
        <v>15</v>
      </c>
      <c r="B5" s="3" t="s">
        <v>59</v>
      </c>
    </row>
    <row r="6" spans="1:2">
      <c r="A6" s="3" t="s">
        <v>60</v>
      </c>
      <c r="B6" s="3" t="s">
        <v>61</v>
      </c>
    </row>
    <row r="7" spans="1:2">
      <c r="A7" s="3" t="s">
        <v>20</v>
      </c>
      <c r="B7" s="3" t="s">
        <v>62</v>
      </c>
    </row>
    <row r="8" spans="1:2">
      <c r="A8" s="3" t="s">
        <v>63</v>
      </c>
      <c r="B8" s="3" t="s">
        <v>64</v>
      </c>
    </row>
    <row r="9" spans="1:2">
      <c r="A9" s="3" t="s">
        <v>65</v>
      </c>
      <c r="B9" s="3" t="s">
        <v>66</v>
      </c>
    </row>
    <row r="10" spans="1:2">
      <c r="A10" s="3" t="s">
        <v>7</v>
      </c>
      <c r="B10" s="3" t="s">
        <v>67</v>
      </c>
    </row>
    <row r="11" spans="1:2">
      <c r="A11" s="3" t="s">
        <v>68</v>
      </c>
      <c r="B11" s="3" t="s">
        <v>69</v>
      </c>
    </row>
    <row r="12" spans="1:2">
      <c r="A12" s="3" t="s">
        <v>70</v>
      </c>
      <c r="B12" s="3" t="s">
        <v>71</v>
      </c>
    </row>
    <row r="13" spans="1:2">
      <c r="A13" s="3" t="s">
        <v>11</v>
      </c>
      <c r="B13" s="3" t="s">
        <v>72</v>
      </c>
    </row>
    <row r="14" spans="1:2">
      <c r="A14" s="3" t="s">
        <v>73</v>
      </c>
      <c r="B14" s="3" t="s">
        <v>74</v>
      </c>
    </row>
    <row r="15" spans="1:2">
      <c r="A15" s="3" t="s">
        <v>75</v>
      </c>
      <c r="B15" s="3" t="s">
        <v>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zoomScaleNormal="100" zoomScaleSheetLayoutView="100" workbookViewId="0"/>
  </sheetViews>
  <sheetFormatPr defaultRowHeight="15"/>
  <cols>
    <col min="1" max="1" width="24" customWidth="1"/>
    <col min="2" max="2" width="65" customWidth="1"/>
  </cols>
  <sheetData>
    <row r="1" spans="1:2">
      <c r="A1" s="1" t="s">
        <v>77</v>
      </c>
      <c r="B1" s="1" t="s">
        <v>78</v>
      </c>
    </row>
    <row r="2" spans="1:2">
      <c r="A2" t="s">
        <v>79</v>
      </c>
      <c r="B2" t="s">
        <v>80</v>
      </c>
    </row>
    <row r="3" spans="1:2">
      <c r="A3" t="s">
        <v>81</v>
      </c>
      <c r="B3" t="s">
        <v>82</v>
      </c>
    </row>
    <row r="4" spans="1:2">
      <c r="A4" t="s">
        <v>83</v>
      </c>
      <c r="B4" t="s">
        <v>84</v>
      </c>
    </row>
    <row r="5" spans="1:2">
      <c r="A5" t="s">
        <v>85</v>
      </c>
      <c r="B5" t="s">
        <v>86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2026-07-17T13:37:09Z</dcterms:created>
  <dcterms:modified xsi:type="dcterms:W3CDTF">2026-07-20T12:18:46Z</dcterms:modified>
  <cp:category/>
  <cp:contentStatus/>
</cp:coreProperties>
</file>